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Assignments\data\"/>
    </mc:Choice>
  </mc:AlternateContent>
  <xr:revisionPtr revIDLastSave="0" documentId="13_ncr:1_{8B00C5C3-BDF0-4B35-A4E2-B8CF3D7175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20" i="1" l="1"/>
  <c r="U19" i="1"/>
  <c r="U18" i="1"/>
  <c r="U17" i="1"/>
  <c r="U21" i="1" l="1"/>
  <c r="T21" i="1"/>
  <c r="T20" i="1"/>
  <c r="T18" i="1"/>
  <c r="T17" i="1"/>
  <c r="S21" i="1"/>
  <c r="S20" i="1"/>
  <c r="S19" i="1"/>
  <c r="S18" i="1"/>
  <c r="S17" i="1"/>
  <c r="O17" i="1"/>
  <c r="O18" i="1"/>
  <c r="O19" i="1"/>
  <c r="O20" i="1"/>
  <c r="O16" i="1"/>
  <c r="N17" i="1"/>
  <c r="N18" i="1"/>
  <c r="N19" i="1"/>
  <c r="N20" i="1"/>
  <c r="N16" i="1"/>
  <c r="J21" i="1"/>
  <c r="I21" i="1"/>
  <c r="J20" i="1"/>
  <c r="I20" i="1"/>
  <c r="J19" i="1"/>
  <c r="I19" i="1"/>
  <c r="J18" i="1"/>
  <c r="I18" i="1"/>
  <c r="J17" i="1"/>
  <c r="I17" i="1"/>
  <c r="J16" i="1"/>
  <c r="I16" i="1"/>
  <c r="P8" i="1"/>
  <c r="P7" i="1"/>
  <c r="P6" i="1"/>
  <c r="P5" i="1"/>
  <c r="P4" i="1"/>
  <c r="K9" i="1"/>
  <c r="K8" i="1"/>
  <c r="K7" i="1"/>
  <c r="K6" i="1"/>
  <c r="K5" i="1"/>
  <c r="J9" i="1"/>
  <c r="J8" i="1"/>
  <c r="J6" i="1"/>
  <c r="J5" i="1"/>
  <c r="I9" i="1"/>
  <c r="I8" i="1"/>
  <c r="I7" i="1"/>
  <c r="I6" i="1"/>
  <c r="I5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<sst xmlns="http://schemas.openxmlformats.org/spreadsheetml/2006/main" count="71" uniqueCount="25">
  <si>
    <t>Yearly Sales Report</t>
  </si>
  <si>
    <t>S/N</t>
  </si>
  <si>
    <t>Date</t>
  </si>
  <si>
    <t>Year</t>
  </si>
  <si>
    <t>Sales Rep</t>
  </si>
  <si>
    <t>Quantity Sold</t>
  </si>
  <si>
    <t>Amount</t>
  </si>
  <si>
    <t>Ayo</t>
  </si>
  <si>
    <t>FUNCTIONS</t>
  </si>
  <si>
    <t>Condition</t>
  </si>
  <si>
    <t>Quantity</t>
  </si>
  <si>
    <t>Tola</t>
  </si>
  <si>
    <t>COUNTIF</t>
  </si>
  <si>
    <t>Abdul</t>
  </si>
  <si>
    <t>SUM</t>
  </si>
  <si>
    <t>Ada</t>
  </si>
  <si>
    <t>MINIMUM</t>
  </si>
  <si>
    <t>MAXIMUM</t>
  </si>
  <si>
    <t>Ese</t>
  </si>
  <si>
    <t>AVERAGE</t>
  </si>
  <si>
    <t>COUNT</t>
  </si>
  <si>
    <t>COUNTA</t>
  </si>
  <si>
    <t>Quantity Sold by Years</t>
  </si>
  <si>
    <t>SUMIF</t>
  </si>
  <si>
    <t>Sum of Sales by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</si>
</sst>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/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medium">
        <color theme="9" tint="0.3999755851924192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5" fillId="3" borderId="1" xfId="0" applyFont="1" applyFill="1" applyBorder="1"/>
    <xf numFmtId="0" fontId="6" fillId="0" borderId="1" xfId="0" applyFont="1" applyBorder="1"/>
    <xf numFmtId="14" fontId="7" fillId="0" borderId="1" xfId="1" applyNumberFormat="1" applyFont="1" applyFill="1" applyBorder="1"/>
    <xf numFmtId="4" fontId="6" fillId="0" borderId="1" xfId="0" applyNumberFormat="1" applyFont="1" applyBorder="1"/>
    <xf numFmtId="22" fontId="0" fillId="0" borderId="0" xfId="0" applyNumberFormat="1"/>
    <xf numFmtId="14" fontId="0" fillId="0" borderId="0" xfId="0" applyNumberFormat="1"/>
    <xf numFmtId="0" fontId="3" fillId="4" borderId="2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0" fontId="3" fillId="3" borderId="5" xfId="0" applyFont="1" applyFill="1" applyBorder="1"/>
    <xf numFmtId="0" fontId="3" fillId="3" borderId="1" xfId="0" applyFont="1" applyFill="1" applyBorder="1"/>
    <xf numFmtId="0" fontId="3" fillId="3" borderId="6" xfId="0" applyFont="1" applyFill="1" applyBorder="1"/>
    <xf numFmtId="0" fontId="0" fillId="0" borderId="1" xfId="0" applyBorder="1"/>
    <xf numFmtId="0" fontId="0" fillId="0" borderId="6" xfId="0" applyBorder="1"/>
    <xf numFmtId="0" fontId="0" fillId="0" borderId="5" xfId="0" applyBorder="1"/>
    <xf numFmtId="4" fontId="0" fillId="0" borderId="6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4" borderId="16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7" xfId="0" applyBorder="1"/>
    <xf numFmtId="164" fontId="1" fillId="0" borderId="5" xfId="1" applyFont="1" applyFill="1" applyBorder="1" applyAlignment="1"/>
    <xf numFmtId="0" fontId="0" fillId="0" borderId="18" xfId="0" applyBorder="1"/>
    <xf numFmtId="0" fontId="3" fillId="4" borderId="13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"/>
  <sheetViews>
    <sheetView tabSelected="1" workbookViewId="0">
      <selection activeCell="M12" sqref="M12"/>
    </sheetView>
  </sheetViews>
  <sheetFormatPr defaultRowHeight="14.4" x14ac:dyDescent="0.3"/>
  <cols>
    <col min="1" max="1" width="5" bestFit="1" customWidth="1"/>
    <col min="2" max="2" width="10.109375" bestFit="1" customWidth="1"/>
    <col min="3" max="3" width="6.33203125" bestFit="1" customWidth="1"/>
    <col min="4" max="4" width="11.77734375" bestFit="1" customWidth="1"/>
    <col min="5" max="5" width="16.33203125" bestFit="1" customWidth="1"/>
    <col min="6" max="6" width="10" bestFit="1" customWidth="1"/>
    <col min="9" max="11" width="10.33203125" bestFit="1" customWidth="1"/>
    <col min="15" max="15" width="10.44140625" customWidth="1"/>
  </cols>
  <sheetData>
    <row r="1" spans="1:21" ht="24.6" x14ac:dyDescent="0.4">
      <c r="A1" s="30" t="s">
        <v>0</v>
      </c>
      <c r="B1" s="30"/>
      <c r="C1" s="30"/>
      <c r="D1" s="30"/>
      <c r="E1" s="30"/>
      <c r="F1" s="30"/>
    </row>
    <row r="2" spans="1:21" ht="18" thickBo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21" ht="15" thickBot="1" x14ac:dyDescent="0.35">
      <c r="A3" s="2">
        <v>1</v>
      </c>
      <c r="B3" s="3">
        <v>40221</v>
      </c>
      <c r="C3" s="3" t="str">
        <f t="shared" ref="C3:C26" si="0">TEXT(B3,"YYYY")</f>
        <v>2010</v>
      </c>
      <c r="D3" s="2" t="s">
        <v>7</v>
      </c>
      <c r="E3" s="2">
        <v>76</v>
      </c>
      <c r="F3" s="4">
        <v>16720</v>
      </c>
      <c r="G3" s="5"/>
      <c r="I3" s="27" t="s">
        <v>24</v>
      </c>
      <c r="J3" s="28"/>
      <c r="K3" s="29"/>
      <c r="N3" s="7"/>
      <c r="O3" s="8" t="s">
        <v>9</v>
      </c>
      <c r="P3" s="9" t="s">
        <v>10</v>
      </c>
    </row>
    <row r="4" spans="1:21" x14ac:dyDescent="0.3">
      <c r="A4" s="2">
        <v>2</v>
      </c>
      <c r="B4" s="3">
        <v>40235</v>
      </c>
      <c r="C4" s="3" t="str">
        <f t="shared" si="0"/>
        <v>2010</v>
      </c>
      <c r="D4" s="2" t="s">
        <v>11</v>
      </c>
      <c r="E4" s="2">
        <v>59</v>
      </c>
      <c r="F4" s="4">
        <v>12980</v>
      </c>
      <c r="G4" s="6"/>
      <c r="H4" s="20" t="s">
        <v>4</v>
      </c>
      <c r="I4" s="21">
        <v>2010</v>
      </c>
      <c r="J4" s="22">
        <v>2011</v>
      </c>
      <c r="K4" s="23">
        <v>2012</v>
      </c>
      <c r="N4" s="34" t="s">
        <v>12</v>
      </c>
      <c r="O4" s="13" t="s">
        <v>13</v>
      </c>
      <c r="P4" s="14">
        <f>COUNTIF(D3:D26,"Abdul")</f>
        <v>6</v>
      </c>
    </row>
    <row r="5" spans="1:21" x14ac:dyDescent="0.3">
      <c r="A5" s="2">
        <v>3</v>
      </c>
      <c r="B5" s="3">
        <v>40249</v>
      </c>
      <c r="C5" s="3" t="str">
        <f t="shared" si="0"/>
        <v>2010</v>
      </c>
      <c r="D5" s="2" t="s">
        <v>13</v>
      </c>
      <c r="E5" s="2">
        <v>56</v>
      </c>
      <c r="F5" s="4">
        <v>12320</v>
      </c>
      <c r="H5" s="24" t="s">
        <v>13</v>
      </c>
      <c r="I5" s="25">
        <f>SUM(F5)</f>
        <v>12320</v>
      </c>
      <c r="J5" s="25">
        <f>SUM(F13,F14)</f>
        <v>23100</v>
      </c>
      <c r="K5" s="25">
        <f>SUM(F18,F21,F23)</f>
        <v>25520</v>
      </c>
      <c r="N5" s="35"/>
      <c r="O5" s="13" t="s">
        <v>7</v>
      </c>
      <c r="P5" s="14">
        <f>COUNTIF(D3:D26,"Ayo")</f>
        <v>3</v>
      </c>
    </row>
    <row r="6" spans="1:21" x14ac:dyDescent="0.3">
      <c r="A6" s="2">
        <v>4</v>
      </c>
      <c r="B6" s="3">
        <v>40249</v>
      </c>
      <c r="C6" s="3" t="str">
        <f t="shared" si="0"/>
        <v>2010</v>
      </c>
      <c r="D6" s="2" t="s">
        <v>15</v>
      </c>
      <c r="E6" s="2">
        <v>48</v>
      </c>
      <c r="F6" s="4">
        <v>10560</v>
      </c>
      <c r="H6" s="24" t="s">
        <v>7</v>
      </c>
      <c r="I6" s="25">
        <f>SUM(F3)</f>
        <v>16720</v>
      </c>
      <c r="J6" s="25">
        <f>SUM(F16)</f>
        <v>6160</v>
      </c>
      <c r="K6" s="25">
        <f>SUM(F25)</f>
        <v>7920</v>
      </c>
      <c r="N6" s="35"/>
      <c r="O6" s="13" t="s">
        <v>15</v>
      </c>
      <c r="P6" s="14">
        <f>COUNTIF(D3:D26,"Ada")</f>
        <v>5</v>
      </c>
    </row>
    <row r="7" spans="1:21" x14ac:dyDescent="0.3">
      <c r="A7" s="2">
        <v>5</v>
      </c>
      <c r="B7" s="3">
        <v>40418</v>
      </c>
      <c r="C7" s="3" t="str">
        <f t="shared" si="0"/>
        <v>2010</v>
      </c>
      <c r="D7" s="2" t="s">
        <v>11</v>
      </c>
      <c r="E7" s="2">
        <v>40</v>
      </c>
      <c r="F7" s="4">
        <v>8800</v>
      </c>
      <c r="H7" s="24" t="s">
        <v>15</v>
      </c>
      <c r="I7" s="25">
        <f>SUM(F6,F9,F10)</f>
        <v>26840</v>
      </c>
      <c r="J7" s="25"/>
      <c r="K7" s="25">
        <f>SUM(F19,F22)</f>
        <v>15840</v>
      </c>
      <c r="N7" s="35"/>
      <c r="O7" s="13" t="s">
        <v>18</v>
      </c>
      <c r="P7" s="14">
        <f>COUNTIF(D3:D26,"Ese")</f>
        <v>3</v>
      </c>
    </row>
    <row r="8" spans="1:21" ht="15" thickBot="1" x14ac:dyDescent="0.35">
      <c r="A8" s="2">
        <v>6</v>
      </c>
      <c r="B8" s="3">
        <v>40418</v>
      </c>
      <c r="C8" s="3" t="str">
        <f t="shared" si="0"/>
        <v>2010</v>
      </c>
      <c r="D8" s="2" t="s">
        <v>18</v>
      </c>
      <c r="E8" s="2">
        <v>90</v>
      </c>
      <c r="F8" s="4">
        <v>19800</v>
      </c>
      <c r="H8" s="24" t="s">
        <v>18</v>
      </c>
      <c r="I8" s="25">
        <f>SUM(F8)</f>
        <v>19800</v>
      </c>
      <c r="J8" s="25">
        <f>SUM(F12)</f>
        <v>20900</v>
      </c>
      <c r="K8" s="25">
        <f>SUM(F24)</f>
        <v>11440</v>
      </c>
      <c r="N8" s="36"/>
      <c r="O8" s="17" t="s">
        <v>11</v>
      </c>
      <c r="P8" s="14">
        <f>COUNTIF(D3:D26,"Tola")</f>
        <v>7</v>
      </c>
    </row>
    <row r="9" spans="1:21" ht="15" thickBot="1" x14ac:dyDescent="0.35">
      <c r="A9" s="2">
        <v>7</v>
      </c>
      <c r="B9" s="3">
        <v>40464</v>
      </c>
      <c r="C9" s="3" t="str">
        <f t="shared" si="0"/>
        <v>2010</v>
      </c>
      <c r="D9" s="2" t="s">
        <v>15</v>
      </c>
      <c r="E9" s="2">
        <v>24</v>
      </c>
      <c r="F9" s="4">
        <v>5280</v>
      </c>
      <c r="H9" s="26" t="s">
        <v>11</v>
      </c>
      <c r="I9" s="25">
        <f>SUM(F4,F11)</f>
        <v>20240</v>
      </c>
      <c r="J9" s="25">
        <f>SUM(F15,F17)</f>
        <v>33440</v>
      </c>
      <c r="K9" s="25">
        <f>SUM(F20,F26)</f>
        <v>20240</v>
      </c>
    </row>
    <row r="10" spans="1:21" x14ac:dyDescent="0.3">
      <c r="A10" s="2">
        <v>8</v>
      </c>
      <c r="B10" s="3">
        <v>40505</v>
      </c>
      <c r="C10" s="3" t="str">
        <f t="shared" si="0"/>
        <v>2010</v>
      </c>
      <c r="D10" s="2" t="s">
        <v>15</v>
      </c>
      <c r="E10" s="2">
        <v>50</v>
      </c>
      <c r="F10" s="4">
        <v>11000</v>
      </c>
    </row>
    <row r="11" spans="1:21" x14ac:dyDescent="0.3">
      <c r="A11" s="2">
        <v>9</v>
      </c>
      <c r="B11" s="3">
        <v>40505</v>
      </c>
      <c r="C11" s="3" t="str">
        <f t="shared" si="0"/>
        <v>2010</v>
      </c>
      <c r="D11" s="2" t="s">
        <v>11</v>
      </c>
      <c r="E11" s="2">
        <v>33</v>
      </c>
      <c r="F11" s="4">
        <v>7260</v>
      </c>
    </row>
    <row r="12" spans="1:21" x14ac:dyDescent="0.3">
      <c r="A12" s="2">
        <v>10</v>
      </c>
      <c r="B12" s="3">
        <v>40611</v>
      </c>
      <c r="C12" s="3" t="str">
        <f t="shared" si="0"/>
        <v>2011</v>
      </c>
      <c r="D12" s="2" t="s">
        <v>18</v>
      </c>
      <c r="E12" s="2">
        <v>95</v>
      </c>
      <c r="F12" s="4">
        <v>20900</v>
      </c>
    </row>
    <row r="13" spans="1:21" ht="15" thickBot="1" x14ac:dyDescent="0.35">
      <c r="A13" s="2">
        <v>11</v>
      </c>
      <c r="B13" s="3">
        <v>40626</v>
      </c>
      <c r="C13" s="3" t="str">
        <f t="shared" si="0"/>
        <v>2011</v>
      </c>
      <c r="D13" s="2" t="s">
        <v>13</v>
      </c>
      <c r="E13" s="2">
        <v>57</v>
      </c>
      <c r="F13" s="4">
        <v>12540</v>
      </c>
    </row>
    <row r="14" spans="1:21" ht="15" thickBot="1" x14ac:dyDescent="0.35">
      <c r="A14" s="2">
        <v>12</v>
      </c>
      <c r="B14" s="3">
        <v>40693</v>
      </c>
      <c r="C14" s="3" t="str">
        <f t="shared" si="0"/>
        <v>2011</v>
      </c>
      <c r="D14" s="2" t="s">
        <v>13</v>
      </c>
      <c r="E14" s="2">
        <v>48</v>
      </c>
      <c r="F14" s="4">
        <v>10560</v>
      </c>
      <c r="H14" s="31" t="s">
        <v>8</v>
      </c>
      <c r="I14" s="32"/>
      <c r="J14" s="33"/>
    </row>
    <row r="15" spans="1:21" ht="15" thickBot="1" x14ac:dyDescent="0.35">
      <c r="A15" s="2">
        <v>13</v>
      </c>
      <c r="B15" s="3">
        <v>40711</v>
      </c>
      <c r="C15" s="3" t="str">
        <f t="shared" si="0"/>
        <v>2011</v>
      </c>
      <c r="D15" s="2" t="s">
        <v>11</v>
      </c>
      <c r="E15" s="2">
        <v>88</v>
      </c>
      <c r="F15" s="4">
        <v>19360</v>
      </c>
      <c r="H15" s="10"/>
      <c r="I15" s="11" t="s">
        <v>10</v>
      </c>
      <c r="J15" s="12" t="s">
        <v>6</v>
      </c>
      <c r="L15" s="7"/>
      <c r="M15" s="8" t="s">
        <v>9</v>
      </c>
      <c r="N15" s="8" t="s">
        <v>10</v>
      </c>
      <c r="O15" s="9" t="s">
        <v>6</v>
      </c>
      <c r="S15" s="27" t="s">
        <v>22</v>
      </c>
      <c r="T15" s="28"/>
      <c r="U15" s="29"/>
    </row>
    <row r="16" spans="1:21" x14ac:dyDescent="0.3">
      <c r="A16" s="2">
        <v>14</v>
      </c>
      <c r="B16" s="3">
        <v>40711</v>
      </c>
      <c r="C16" s="3" t="str">
        <f t="shared" si="0"/>
        <v>2011</v>
      </c>
      <c r="D16" s="2" t="s">
        <v>7</v>
      </c>
      <c r="E16" s="2">
        <v>28</v>
      </c>
      <c r="F16" s="4">
        <v>6160</v>
      </c>
      <c r="H16" s="15" t="s">
        <v>14</v>
      </c>
      <c r="I16" s="13">
        <f>SUM(E3:E26)</f>
        <v>1224</v>
      </c>
      <c r="J16" s="16">
        <f>SUM(F3:F26)</f>
        <v>269280</v>
      </c>
      <c r="L16" s="34" t="s">
        <v>23</v>
      </c>
      <c r="M16" s="13" t="s">
        <v>13</v>
      </c>
      <c r="N16" s="13">
        <f>SUMIF(D3:D26,M16,E3:E26)</f>
        <v>277</v>
      </c>
      <c r="O16" s="13">
        <f>SUMIF(D3:D26,M16,F3:F26)</f>
        <v>60940</v>
      </c>
      <c r="R16" s="20" t="s">
        <v>4</v>
      </c>
      <c r="S16" s="21">
        <v>2010</v>
      </c>
      <c r="T16" s="22">
        <v>2011</v>
      </c>
      <c r="U16" s="23">
        <v>2012</v>
      </c>
    </row>
    <row r="17" spans="1:21" x14ac:dyDescent="0.3">
      <c r="A17" s="2">
        <v>15</v>
      </c>
      <c r="B17" s="3">
        <v>40734</v>
      </c>
      <c r="C17" s="3" t="str">
        <f t="shared" si="0"/>
        <v>2011</v>
      </c>
      <c r="D17" s="2" t="s">
        <v>11</v>
      </c>
      <c r="E17" s="2">
        <v>64</v>
      </c>
      <c r="F17" s="4">
        <v>14080</v>
      </c>
      <c r="H17" s="15" t="s">
        <v>16</v>
      </c>
      <c r="I17" s="13">
        <f>MIN(E3:E26)</f>
        <v>24</v>
      </c>
      <c r="J17" s="16">
        <f>MIN(F3:F26)</f>
        <v>5280</v>
      </c>
      <c r="L17" s="35"/>
      <c r="M17" s="13" t="s">
        <v>7</v>
      </c>
      <c r="N17" s="13">
        <f t="shared" ref="N17:N20" si="1">SUMIF(D4:D27,M17,E4:E27)</f>
        <v>64</v>
      </c>
      <c r="O17" s="13">
        <f t="shared" ref="O17:O20" si="2">SUMIF(D4:D27,M17,F4:F27)</f>
        <v>14080</v>
      </c>
      <c r="R17" s="24" t="s">
        <v>13</v>
      </c>
      <c r="S17" s="25">
        <f>SUM(E5)</f>
        <v>56</v>
      </c>
      <c r="T17" s="25">
        <f>SUM(E13,E14)</f>
        <v>105</v>
      </c>
      <c r="U17" s="25">
        <f>SUM(E18,E21,E23)</f>
        <v>116</v>
      </c>
    </row>
    <row r="18" spans="1:21" x14ac:dyDescent="0.3">
      <c r="A18" s="2">
        <v>16</v>
      </c>
      <c r="B18" s="3">
        <v>40953</v>
      </c>
      <c r="C18" s="3" t="str">
        <f t="shared" si="0"/>
        <v>2012</v>
      </c>
      <c r="D18" s="2" t="s">
        <v>13</v>
      </c>
      <c r="E18" s="2">
        <v>51</v>
      </c>
      <c r="F18" s="4">
        <v>11220</v>
      </c>
      <c r="H18" s="15" t="s">
        <v>17</v>
      </c>
      <c r="I18" s="13">
        <f>MAX(E3:E26)</f>
        <v>95</v>
      </c>
      <c r="J18" s="16">
        <f>MAX(F3:F26)</f>
        <v>20900</v>
      </c>
      <c r="L18" s="35"/>
      <c r="M18" s="13" t="s">
        <v>15</v>
      </c>
      <c r="N18" s="13">
        <f t="shared" si="1"/>
        <v>194</v>
      </c>
      <c r="O18" s="13">
        <f t="shared" si="2"/>
        <v>42680</v>
      </c>
      <c r="R18" s="24" t="s">
        <v>7</v>
      </c>
      <c r="S18" s="25">
        <f>SUM(E3)</f>
        <v>76</v>
      </c>
      <c r="T18" s="25">
        <f>SUM(E16)</f>
        <v>28</v>
      </c>
      <c r="U18" s="25">
        <f>SUM(E25)</f>
        <v>36</v>
      </c>
    </row>
    <row r="19" spans="1:21" x14ac:dyDescent="0.3">
      <c r="A19" s="2">
        <v>17</v>
      </c>
      <c r="B19" s="3">
        <v>40953</v>
      </c>
      <c r="C19" s="3" t="str">
        <f t="shared" si="0"/>
        <v>2012</v>
      </c>
      <c r="D19" s="2" t="s">
        <v>15</v>
      </c>
      <c r="E19" s="2">
        <v>25</v>
      </c>
      <c r="F19" s="4">
        <v>5500</v>
      </c>
      <c r="H19" s="15" t="s">
        <v>19</v>
      </c>
      <c r="I19" s="13">
        <f>AVERAGE(E3:E26)</f>
        <v>51</v>
      </c>
      <c r="J19" s="16">
        <f>AVERAGE(F3:F26)</f>
        <v>11220</v>
      </c>
      <c r="L19" s="35"/>
      <c r="M19" s="13" t="s">
        <v>18</v>
      </c>
      <c r="N19" s="13">
        <f t="shared" si="1"/>
        <v>237</v>
      </c>
      <c r="O19" s="13">
        <f t="shared" si="2"/>
        <v>52140</v>
      </c>
      <c r="R19" s="24" t="s">
        <v>15</v>
      </c>
      <c r="S19" s="25">
        <f>SUM(E6,E9,E10)</f>
        <v>122</v>
      </c>
      <c r="T19" s="25"/>
      <c r="U19" s="25">
        <f>SUM(E19,E22)</f>
        <v>72</v>
      </c>
    </row>
    <row r="20" spans="1:21" ht="15" thickBot="1" x14ac:dyDescent="0.35">
      <c r="A20" s="2">
        <v>18</v>
      </c>
      <c r="B20" s="3">
        <v>41014</v>
      </c>
      <c r="C20" s="3" t="str">
        <f t="shared" si="0"/>
        <v>2012</v>
      </c>
      <c r="D20" s="2" t="s">
        <v>11</v>
      </c>
      <c r="E20" s="2">
        <v>32</v>
      </c>
      <c r="F20" s="4">
        <v>7040</v>
      </c>
      <c r="H20" s="15" t="s">
        <v>20</v>
      </c>
      <c r="I20" s="13">
        <f>COUNT(E3:E26)</f>
        <v>24</v>
      </c>
      <c r="J20" s="14">
        <f>COUNT(F3:F26)</f>
        <v>24</v>
      </c>
      <c r="L20" s="36"/>
      <c r="M20" s="17" t="s">
        <v>11</v>
      </c>
      <c r="N20" s="13">
        <f t="shared" si="1"/>
        <v>317</v>
      </c>
      <c r="O20" s="13">
        <f t="shared" si="2"/>
        <v>69740</v>
      </c>
      <c r="R20" s="24" t="s">
        <v>18</v>
      </c>
      <c r="S20" s="25">
        <f>SUM(E8)</f>
        <v>90</v>
      </c>
      <c r="T20" s="25">
        <f>SUM(E12)</f>
        <v>95</v>
      </c>
      <c r="U20" s="25">
        <f>SUM(E24)</f>
        <v>52</v>
      </c>
    </row>
    <row r="21" spans="1:21" ht="15" thickBot="1" x14ac:dyDescent="0.35">
      <c r="A21" s="2">
        <v>19</v>
      </c>
      <c r="B21" s="3">
        <v>41014</v>
      </c>
      <c r="C21" s="3" t="str">
        <f t="shared" si="0"/>
        <v>2012</v>
      </c>
      <c r="D21" s="2" t="s">
        <v>13</v>
      </c>
      <c r="E21" s="2">
        <v>24</v>
      </c>
      <c r="F21" s="4">
        <v>5280</v>
      </c>
      <c r="H21" s="18" t="s">
        <v>21</v>
      </c>
      <c r="I21" s="13">
        <f>COUNTA(E3:E26)</f>
        <v>24</v>
      </c>
      <c r="J21" s="19">
        <f>COUNTA(F3:F26)</f>
        <v>24</v>
      </c>
      <c r="R21" s="26" t="s">
        <v>11</v>
      </c>
      <c r="S21" s="25">
        <f>SUM(E11,E7)</f>
        <v>73</v>
      </c>
      <c r="T21" s="25">
        <f>SUM(E15,E17)</f>
        <v>152</v>
      </c>
      <c r="U21" s="25">
        <f>SUM(E20,E26)</f>
        <v>92</v>
      </c>
    </row>
    <row r="22" spans="1:21" x14ac:dyDescent="0.3">
      <c r="A22" s="2">
        <v>20</v>
      </c>
      <c r="B22" s="3">
        <v>41068</v>
      </c>
      <c r="C22" s="3" t="str">
        <f t="shared" si="0"/>
        <v>2012</v>
      </c>
      <c r="D22" s="2" t="s">
        <v>15</v>
      </c>
      <c r="E22" s="2">
        <v>47</v>
      </c>
      <c r="F22" s="4">
        <v>10340</v>
      </c>
    </row>
    <row r="23" spans="1:21" x14ac:dyDescent="0.3">
      <c r="A23" s="2">
        <v>21</v>
      </c>
      <c r="B23" s="3">
        <v>41068</v>
      </c>
      <c r="C23" s="3" t="str">
        <f t="shared" si="0"/>
        <v>2012</v>
      </c>
      <c r="D23" s="2" t="s">
        <v>13</v>
      </c>
      <c r="E23" s="2">
        <v>41</v>
      </c>
      <c r="F23" s="4">
        <v>9020</v>
      </c>
    </row>
    <row r="24" spans="1:21" x14ac:dyDescent="0.3">
      <c r="A24" s="2">
        <v>22</v>
      </c>
      <c r="B24" s="3">
        <v>41125</v>
      </c>
      <c r="C24" s="3" t="str">
        <f t="shared" si="0"/>
        <v>2012</v>
      </c>
      <c r="D24" s="2" t="s">
        <v>18</v>
      </c>
      <c r="E24" s="2">
        <v>52</v>
      </c>
      <c r="F24" s="4">
        <v>11440</v>
      </c>
    </row>
    <row r="25" spans="1:21" x14ac:dyDescent="0.3">
      <c r="A25" s="2">
        <v>23</v>
      </c>
      <c r="B25" s="3">
        <v>41183</v>
      </c>
      <c r="C25" s="3" t="str">
        <f t="shared" si="0"/>
        <v>2012</v>
      </c>
      <c r="D25" s="2" t="s">
        <v>7</v>
      </c>
      <c r="E25" s="2">
        <v>36</v>
      </c>
      <c r="F25" s="4">
        <v>7920</v>
      </c>
    </row>
    <row r="26" spans="1:21" x14ac:dyDescent="0.3">
      <c r="A26" s="2">
        <v>24</v>
      </c>
      <c r="B26" s="3">
        <v>41183</v>
      </c>
      <c r="C26" s="3" t="str">
        <f t="shared" si="0"/>
        <v>2012</v>
      </c>
      <c r="D26" s="2" t="s">
        <v>11</v>
      </c>
      <c r="E26" s="2">
        <v>60</v>
      </c>
      <c r="F26" s="4">
        <v>13200</v>
      </c>
    </row>
  </sheetData>
  <mergeCells count="6">
    <mergeCell ref="L16:L20"/>
    <mergeCell ref="I3:K3"/>
    <mergeCell ref="A1:F1"/>
    <mergeCell ref="H14:J14"/>
    <mergeCell ref="N4:N8"/>
    <mergeCell ref="S15:U15"/>
  </mergeCells>
  <conditionalFormatting sqref="F1:F1048576">
    <cfRule type="cellIs" dxfId="0" priority="2" operator="greaterThan">
      <formula>15000</formula>
    </cfRule>
    <cfRule type="cellIs" dxfId="1" priority="1" operator="lessThan">
      <formula>6000</formula>
    </cfRule>
  </conditionalFormatting>
  <pageMargins left="0.7" right="0.7" top="0.75" bottom="0.75" header="0.3" footer="0.3"/>
  <ignoredErrors>
    <ignoredError sqref="P5 S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Ayomide</dc:creator>
  <cp:lastModifiedBy>Saheed Aremu</cp:lastModifiedBy>
  <dcterms:created xsi:type="dcterms:W3CDTF">2024-05-08T21:08:42Z</dcterms:created>
  <dcterms:modified xsi:type="dcterms:W3CDTF">2026-05-03T17:37:33Z</dcterms:modified>
</cp:coreProperties>
</file>